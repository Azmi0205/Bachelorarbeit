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ka008729\Desktop\Bachelorarbeit\02PCB_Design\04BoMs\"/>
    </mc:Choice>
  </mc:AlternateContent>
  <xr:revisionPtr revIDLastSave="0" documentId="13_ncr:1_{270231DB-EB50-42C5-9347-E4C729DD8EA7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9" i="1"/>
  <c r="E5" i="1"/>
  <c r="D11" i="1" l="1"/>
</calcChain>
</file>

<file path=xl/sharedStrings.xml><?xml version="1.0" encoding="utf-8"?>
<sst xmlns="http://schemas.openxmlformats.org/spreadsheetml/2006/main" count="40" uniqueCount="37">
  <si>
    <t>BILL OF MATERIALS</t>
  </si>
  <si>
    <t>DESCRIPTION</t>
  </si>
  <si>
    <t>COMPONENT</t>
  </si>
  <si>
    <t>COST PER UNIT</t>
  </si>
  <si>
    <t>SUBTOTAL</t>
  </si>
  <si>
    <t>Item to be created:</t>
  </si>
  <si>
    <t xml:space="preserve">TOTAL COST: </t>
  </si>
  <si>
    <t>Motorcontrol Testing Rig</t>
  </si>
  <si>
    <t>SELLER</t>
  </si>
  <si>
    <t>Link</t>
  </si>
  <si>
    <t>Pilotix 6210 210KV</t>
  </si>
  <si>
    <t>Hobbydrone</t>
  </si>
  <si>
    <t>https://www.hobbydrone.cz/de/motor-pilotix-6210-210kv/</t>
  </si>
  <si>
    <t>Mouser</t>
  </si>
  <si>
    <t>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</t>
  </si>
  <si>
    <t>Texas Instruments LMG2100R044</t>
  </si>
  <si>
    <t>STM NUCLEO-G431RB</t>
  </si>
  <si>
    <t xml:space="preserve"> Neodym Scheiben Magnet diametral</t>
  </si>
  <si>
    <t>neomagnete</t>
  </si>
  <si>
    <t>https://www.neomagnete.de/de/detail/index/sArticle/212?gad_source=1&amp;gad_campaignid=17605133197&amp;gbraid=0AAAAAD_oNQFkVobcRpzUKJz5hM3hHz4Fb&amp;gclid=CjwKCAiA95fLBhBPEiwATXUsxHd6w5GT2PIIX66BMHLcYRIPPrKjXiK0qCdEW1isFIvSDILRksHHkRoC_dEQAvD_BwE</t>
  </si>
  <si>
    <t>QTY</t>
  </si>
  <si>
    <t>P-Nucleo-IHM03</t>
  </si>
  <si>
    <t>Entwicklungsbausatz inklusive NUCLEO G431RB</t>
  </si>
  <si>
    <t>RS Components</t>
  </si>
  <si>
    <t xml:space="preserve">GaN-Halbbrücken Integrated-Power-Module inklusive  Gate-Driver </t>
  </si>
  <si>
    <t>STM G431RB Mikrocontroller Development Board</t>
  </si>
  <si>
    <t>https://de.rs-online.com/web/p/entwicklungstools-microcontroller/1962536</t>
  </si>
  <si>
    <t>https://de.rs-online.com/web/p/entwicklungstools-fur-energie-motor-und-robotik/1962538</t>
  </si>
  <si>
    <t>Nicht bei RS Components erhältlich</t>
  </si>
  <si>
    <t>D8x4mm - N48 Diametral</t>
  </si>
  <si>
    <t>Bei RS Components erhältlich</t>
  </si>
  <si>
    <t>Nicht bei Farnell/Mouser/Reichelt/Conrad erhältlich</t>
  </si>
  <si>
    <t>Note</t>
  </si>
  <si>
    <t>-</t>
  </si>
  <si>
    <t>Nicht unbedingt nötig (bereits selbst bestellt) Wenn nicht: lieber noch einen STM NUCLEO-G431RB mehr</t>
  </si>
  <si>
    <t>BLDC Motor mit offen gelegter Welle und hoher Polpaarzahl und übersetzung 1:1</t>
  </si>
  <si>
    <t>Eigenschaften wichtig für die Testplatform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</si>
</sst>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.00\ &quot;€&quot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.25"/>
      <color theme="4"/>
      <name val="Microsoft Sans Serif"/>
      <family val="2"/>
    </font>
    <font>
      <sz val="10"/>
      <color indexed="0"/>
      <name val="ARIAL"/>
      <family val="2"/>
    </font>
    <font>
      <u/>
      <sz val="10"/>
      <color theme="10"/>
      <name val="Arial"/>
      <family val="2"/>
    </font>
    <font>
      <u/>
      <sz val="16"/>
      <color theme="5"/>
      <name val="Arial"/>
      <family val="2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>
      <alignment vertical="top"/>
    </xf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0" applyNumberFormat="1"/>
    <xf numFmtId="0" fontId="5" fillId="0" borderId="0" xfId="1" applyFont="1" applyFill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165" fontId="0" fillId="0" borderId="0" xfId="0" applyNumberFormat="1"/>
    <xf numFmtId="165" fontId="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5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4" borderId="0" xfId="4"/>
    <xf numFmtId="0" fontId="7" fillId="2" borderId="0" xfId="2"/>
    <xf numFmtId="0" fontId="8" fillId="3" borderId="0" xfId="3" applyAlignment="1"/>
    <xf numFmtId="0" fontId="0" fillId="0" borderId="5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0" fillId="2" borderId="4" xfId="2" applyFont="1" applyBorder="1" applyAlignment="1">
      <alignment horizontal="center" vertical="center"/>
    </xf>
    <xf numFmtId="0" fontId="10" fillId="2" borderId="4" xfId="2" applyFont="1" applyBorder="1" applyAlignment="1">
      <alignment horizontal="center" vertical="center" wrapText="1"/>
    </xf>
    <xf numFmtId="165" fontId="10" fillId="2" borderId="4" xfId="2" applyNumberFormat="1" applyFont="1" applyBorder="1" applyAlignment="1">
      <alignment horizontal="center" vertical="center"/>
    </xf>
    <xf numFmtId="164" fontId="10" fillId="2" borderId="4" xfId="2" applyNumberFormat="1" applyFont="1" applyBorder="1" applyAlignment="1">
      <alignment vertical="center"/>
    </xf>
    <xf numFmtId="164" fontId="10" fillId="2" borderId="4" xfId="2" applyNumberFormat="1" applyFont="1" applyBorder="1" applyAlignment="1">
      <alignment horizontal="center" vertical="center"/>
    </xf>
    <xf numFmtId="0" fontId="10" fillId="2" borderId="3" xfId="2" applyFont="1" applyBorder="1" applyAlignment="1">
      <alignment vertical="center"/>
    </xf>
    <xf numFmtId="164" fontId="10" fillId="2" borderId="4" xfId="2" applyNumberFormat="1" applyFont="1" applyBorder="1" applyAlignment="1">
      <alignment horizontal="left" vertical="center"/>
    </xf>
    <xf numFmtId="0" fontId="10" fillId="2" borderId="4" xfId="2" applyFont="1" applyBorder="1" applyAlignment="1">
      <alignment vertical="center" wrapText="1"/>
    </xf>
    <xf numFmtId="0" fontId="10" fillId="4" borderId="4" xfId="4" applyFont="1" applyBorder="1" applyAlignment="1">
      <alignment horizontal="center" vertical="center"/>
    </xf>
    <xf numFmtId="0" fontId="10" fillId="4" borderId="4" xfId="4" applyFont="1" applyBorder="1" applyAlignment="1">
      <alignment horizontal="center" vertical="center" wrapText="1"/>
    </xf>
    <xf numFmtId="165" fontId="10" fillId="4" borderId="4" xfId="4" applyNumberFormat="1" applyFont="1" applyBorder="1" applyAlignment="1">
      <alignment horizontal="center" vertical="center"/>
    </xf>
    <xf numFmtId="164" fontId="10" fillId="4" borderId="4" xfId="4" applyNumberFormat="1" applyFont="1" applyBorder="1" applyAlignment="1">
      <alignment vertical="center"/>
    </xf>
    <xf numFmtId="164" fontId="10" fillId="4" borderId="4" xfId="4" applyNumberFormat="1" applyFont="1" applyBorder="1" applyAlignment="1">
      <alignment horizontal="center" vertical="center"/>
    </xf>
    <xf numFmtId="0" fontId="10" fillId="4" borderId="4" xfId="4" applyFont="1" applyBorder="1" applyAlignment="1">
      <alignment vertical="center"/>
    </xf>
    <xf numFmtId="164" fontId="10" fillId="4" borderId="4" xfId="4" applyNumberFormat="1" applyFont="1" applyBorder="1" applyAlignment="1">
      <alignment horizontal="left" vertical="center"/>
    </xf>
    <xf numFmtId="0" fontId="10" fillId="3" borderId="4" xfId="3" applyFont="1" applyBorder="1" applyAlignment="1">
      <alignment horizontal="center" vertical="center"/>
    </xf>
    <xf numFmtId="0" fontId="10" fillId="3" borderId="4" xfId="3" applyFont="1" applyBorder="1" applyAlignment="1">
      <alignment horizontal="center" vertical="center" wrapText="1"/>
    </xf>
    <xf numFmtId="165" fontId="10" fillId="3" borderId="4" xfId="3" applyNumberFormat="1" applyFont="1" applyBorder="1" applyAlignment="1">
      <alignment horizontal="center" vertical="center"/>
    </xf>
    <xf numFmtId="164" fontId="10" fillId="3" borderId="4" xfId="3" applyNumberFormat="1" applyFont="1" applyBorder="1" applyAlignment="1">
      <alignment vertical="center"/>
    </xf>
    <xf numFmtId="164" fontId="10" fillId="3" borderId="4" xfId="3" applyNumberFormat="1" applyFont="1" applyBorder="1" applyAlignment="1">
      <alignment horizontal="center" vertical="center"/>
    </xf>
    <xf numFmtId="0" fontId="10" fillId="3" borderId="4" xfId="3" applyFont="1" applyBorder="1" applyAlignment="1">
      <alignment vertical="center"/>
    </xf>
    <xf numFmtId="164" fontId="10" fillId="3" borderId="4" xfId="3" applyNumberFormat="1" applyFont="1" applyBorder="1" applyAlignment="1">
      <alignment horizontal="left" vertical="center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bbydrone.cz/de/motor-pilotix-6210-210kv/" TargetMode="External"/><Relationship Id="rId2" Type="http://schemas.openxmlformats.org/officeDocument/2006/relationships/hyperlink" Target="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" TargetMode="External"/><Relationship Id="rId1" Type="http://schemas.openxmlformats.org/officeDocument/2006/relationships/hyperlink" Target="https://www.neomagnete.de/de/detail/index/sArticle/212?gad_source=1&amp;gad_campaignid=17605133197&amp;gbraid=0AAAAAD_oNQFkVobcRpzUKJz5hM3hHz4Fb&amp;gclid=CjwKCAiA95fLBhBPEiwATXUsxHd6w5GT2PIIX66BMHLcYRIPPrKjXiK0qCdEW1isFIvSDILRksHHkRoC_dEQAvD_Bw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F28" sqref="F28"/>
    </sheetView>
  </sheetViews>
  <sheetFormatPr defaultRowHeight="15" x14ac:dyDescent="0.25"/>
  <cols>
    <col min="1" max="2" width="37.140625" customWidth="1"/>
    <col min="3" max="3" width="15.140625" customWidth="1"/>
    <col min="4" max="4" width="15.5703125" customWidth="1"/>
    <col min="5" max="5" width="19.7109375" hidden="1" customWidth="1"/>
    <col min="6" max="6" width="16" customWidth="1"/>
    <col min="7" max="7" width="41.140625" customWidth="1"/>
    <col min="8" max="8" width="62.85546875" customWidth="1"/>
  </cols>
  <sheetData>
    <row r="1" spans="1:22" ht="35.25" customHeight="1" x14ac:dyDescent="0.25">
      <c r="A1" s="16" t="s">
        <v>0</v>
      </c>
      <c r="B1" s="16"/>
      <c r="C1" s="16"/>
      <c r="D1" s="16"/>
      <c r="E1" s="2"/>
      <c r="F1" s="2"/>
      <c r="G1" s="2"/>
      <c r="H1" s="1"/>
      <c r="I1" s="1"/>
      <c r="J1" s="1"/>
      <c r="K1" s="1"/>
      <c r="L1" s="1"/>
      <c r="M1" s="1"/>
    </row>
    <row r="2" spans="1:22" ht="15" customHeight="1" x14ac:dyDescent="0.25">
      <c r="A2" s="19" t="s">
        <v>5</v>
      </c>
      <c r="B2" s="19"/>
      <c r="C2" s="20" t="s">
        <v>7</v>
      </c>
      <c r="D2" s="20"/>
      <c r="E2" s="1"/>
      <c r="F2" s="1"/>
      <c r="G2" s="1"/>
      <c r="H2" s="1"/>
      <c r="I2" s="1"/>
      <c r="J2" s="1"/>
      <c r="K2" s="1"/>
      <c r="L2" s="1"/>
      <c r="M2" s="1"/>
    </row>
    <row r="3" spans="1:22" x14ac:dyDescent="0.25">
      <c r="A3" s="3"/>
      <c r="B3" s="3"/>
    </row>
    <row r="4" spans="1:22" x14ac:dyDescent="0.25">
      <c r="A4" s="7" t="s">
        <v>2</v>
      </c>
      <c r="B4" s="7" t="s">
        <v>1</v>
      </c>
      <c r="C4" s="8" t="s">
        <v>20</v>
      </c>
      <c r="D4" s="8" t="s">
        <v>3</v>
      </c>
      <c r="E4" s="4" t="s">
        <v>4</v>
      </c>
      <c r="F4" s="24" t="s">
        <v>8</v>
      </c>
      <c r="G4" s="25" t="s">
        <v>32</v>
      </c>
      <c r="H4" s="7" t="s">
        <v>9</v>
      </c>
    </row>
    <row r="5" spans="1:22" ht="30" x14ac:dyDescent="0.25">
      <c r="A5" s="26" t="s">
        <v>16</v>
      </c>
      <c r="B5" s="27" t="s">
        <v>25</v>
      </c>
      <c r="C5" s="26">
        <v>2</v>
      </c>
      <c r="D5" s="28">
        <v>13.92</v>
      </c>
      <c r="E5" s="29">
        <f>C5*D5</f>
        <v>27.84</v>
      </c>
      <c r="F5" s="30" t="s">
        <v>23</v>
      </c>
      <c r="G5" s="31" t="s">
        <v>33</v>
      </c>
      <c r="H5" s="32" t="s">
        <v>26</v>
      </c>
    </row>
    <row r="6" spans="1:22" ht="47.25" customHeight="1" x14ac:dyDescent="0.25">
      <c r="A6" s="26" t="s">
        <v>21</v>
      </c>
      <c r="B6" s="27" t="s">
        <v>22</v>
      </c>
      <c r="C6" s="26">
        <v>1</v>
      </c>
      <c r="D6" s="28">
        <v>72.56</v>
      </c>
      <c r="E6" s="29">
        <f>C6*D6</f>
        <v>72.56</v>
      </c>
      <c r="F6" s="30" t="s">
        <v>23</v>
      </c>
      <c r="G6" s="33" t="s">
        <v>34</v>
      </c>
      <c r="H6" s="32" t="s">
        <v>27</v>
      </c>
    </row>
    <row r="7" spans="1:22" ht="30" x14ac:dyDescent="0.25">
      <c r="A7" s="34" t="s">
        <v>15</v>
      </c>
      <c r="B7" s="35" t="s">
        <v>24</v>
      </c>
      <c r="C7" s="34">
        <v>8</v>
      </c>
      <c r="D7" s="36">
        <v>7.38</v>
      </c>
      <c r="E7" s="37">
        <f t="shared" ref="E7:E8" si="0">C7*D7</f>
        <v>59.04</v>
      </c>
      <c r="F7" s="38" t="s">
        <v>13</v>
      </c>
      <c r="G7" s="39" t="s">
        <v>33</v>
      </c>
      <c r="H7" s="40" t="s">
        <v>14</v>
      </c>
    </row>
    <row r="8" spans="1:22" ht="37.5" customHeight="1" x14ac:dyDescent="0.25">
      <c r="A8" s="41" t="s">
        <v>10</v>
      </c>
      <c r="B8" s="42" t="s">
        <v>35</v>
      </c>
      <c r="C8" s="41">
        <v>2</v>
      </c>
      <c r="D8" s="43">
        <v>128.30000000000001</v>
      </c>
      <c r="E8" s="44">
        <f t="shared" si="0"/>
        <v>256.60000000000002</v>
      </c>
      <c r="F8" s="45" t="s">
        <v>11</v>
      </c>
      <c r="G8" s="46" t="s">
        <v>36</v>
      </c>
      <c r="H8" s="47" t="s">
        <v>12</v>
      </c>
    </row>
    <row r="9" spans="1:22" x14ac:dyDescent="0.25">
      <c r="A9" s="41" t="s">
        <v>29</v>
      </c>
      <c r="B9" s="41" t="s">
        <v>17</v>
      </c>
      <c r="C9" s="41">
        <v>5</v>
      </c>
      <c r="D9" s="43">
        <v>0.87</v>
      </c>
      <c r="E9" s="44">
        <f>C9*D9</f>
        <v>4.3499999999999996</v>
      </c>
      <c r="F9" s="45" t="s">
        <v>18</v>
      </c>
      <c r="G9" s="46" t="s">
        <v>33</v>
      </c>
      <c r="H9" s="47" t="s">
        <v>19</v>
      </c>
    </row>
    <row r="10" spans="1:22" x14ac:dyDescent="0.25">
      <c r="D10" s="12"/>
      <c r="E10" s="5"/>
    </row>
    <row r="11" spans="1:22" ht="18.75" x14ac:dyDescent="0.3">
      <c r="C11" s="9" t="s">
        <v>6</v>
      </c>
      <c r="D11" s="13">
        <f>SUM(E5:E9)</f>
        <v>420.39000000000004</v>
      </c>
    </row>
    <row r="12" spans="1:22" x14ac:dyDescent="0.25">
      <c r="A12" s="11"/>
      <c r="D12" s="14"/>
    </row>
    <row r="13" spans="1:22" x14ac:dyDescent="0.25">
      <c r="A13" s="22" t="s">
        <v>30</v>
      </c>
      <c r="B13" s="21" t="s">
        <v>28</v>
      </c>
    </row>
    <row r="14" spans="1:22" ht="15.75" customHeight="1" x14ac:dyDescent="0.25">
      <c r="A14" s="23" t="s">
        <v>31</v>
      </c>
      <c r="B14" s="23"/>
      <c r="C14" s="15"/>
      <c r="D14" s="15"/>
      <c r="E14" s="10"/>
      <c r="F14" s="10"/>
      <c r="G14" s="10"/>
      <c r="H14" s="10"/>
      <c r="I14" s="10"/>
      <c r="J14" s="10"/>
    </row>
    <row r="16" spans="1:22" ht="14.25" customHeight="1" x14ac:dyDescent="0.25">
      <c r="A16" s="17"/>
      <c r="B16" s="18"/>
      <c r="C16" s="18"/>
      <c r="D16" s="18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</sheetData>
  <mergeCells count="4">
    <mergeCell ref="A1:D1"/>
    <mergeCell ref="A16:D16"/>
    <mergeCell ref="A2:B2"/>
    <mergeCell ref="C2:D2"/>
  </mergeCells>
  <hyperlinks>
    <hyperlink ref="H9" r:id="rId1" xr:uid="{95C7591A-4086-43FB-BB8A-E99B0DF14A46}"/>
    <hyperlink ref="H7" r:id="rId2" display="https://www.mouser.de/ProductDetail/Texas-Instruments/LMG2100R044RARR?qs=ZcfC38r4PovtUeqDI2WsKQ%3D%3D&amp;utm_id=22433149151&amp;utm_source=google&amp;utm_medium=cpc&amp;utm_marketing_tactic=emeacorp&amp;gad_source=1&amp;gad_campaignid=22426713531&amp;gbraid=0AAAAADn_wf1jyQm3btgJXPAUHuyqZ1QbN&amp;gclid=CjwKCAiA95fLBhBPEiwATXUsxNeoaw-eWxu2TXxOpsx17xU4idtm0YNndr9xYRBkQAegtHJh3KTT2BoCXicQAvD_BwE" xr:uid="{33178C4B-06BA-4900-BFF4-8A970800A466}"/>
    <hyperlink ref="H8" r:id="rId3" xr:uid="{75D4AC12-34F9-4BD6-B5A2-C2C4A86795C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Wong</dc:creator>
  <cp:lastModifiedBy>Azmi BEYROUTI</cp:lastModifiedBy>
  <dcterms:created xsi:type="dcterms:W3CDTF">2016-10-14T14:41:25Z</dcterms:created>
  <dcterms:modified xsi:type="dcterms:W3CDTF">2026-01-22T10:02:37Z</dcterms:modified>
</cp:coreProperties>
</file>