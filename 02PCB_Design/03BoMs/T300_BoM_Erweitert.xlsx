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ka008729\Desktop\"/>
    </mc:Choice>
  </mc:AlternateContent>
  <xr:revisionPtr revIDLastSave="0" documentId="13_ncr:1_{3F1EBAA1-0B6A-4FD2-AA83-5539F3D59BE6}" xr6:coauthVersionLast="47" xr6:coauthVersionMax="47" xr10:uidLastSave="{00000000-0000-0000-0000-000000000000}"/>
  <bookViews>
    <workbookView xWindow="2730" yWindow="2730" windowWidth="38700" windowHeight="153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7" i="1"/>
  <c r="E8" i="1"/>
  <c r="E9" i="1"/>
  <c r="E10" i="1"/>
  <c r="E11" i="1"/>
  <c r="E12" i="1"/>
  <c r="E13" i="1"/>
  <c r="E15" i="1"/>
  <c r="E16" i="1"/>
  <c r="E17" i="1"/>
  <c r="E18" i="1"/>
  <c r="E19" i="1"/>
  <c r="E20" i="1"/>
  <c r="E21" i="1"/>
  <c r="E22" i="1"/>
  <c r="E23" i="1"/>
  <c r="E24" i="1"/>
  <c r="E6" i="1"/>
  <c r="D26" i="1" l="1"/>
</calcChain>
</file>

<file path=xl/sharedStrings.xml><?xml version="1.0" encoding="utf-8"?>
<sst xmlns="http://schemas.openxmlformats.org/spreadsheetml/2006/main" count="58" uniqueCount="53">
  <si>
    <t>BILL OF MATERIALS</t>
  </si>
  <si>
    <t>DESCRIPTION</t>
  </si>
  <si>
    <t>COMPONENT</t>
  </si>
  <si>
    <t>COST PER UNIT</t>
  </si>
  <si>
    <t>SUBTOTAL</t>
  </si>
  <si>
    <t>Item to be created:</t>
  </si>
  <si>
    <t>Qty to create:</t>
  </si>
  <si>
    <t>Component 11</t>
  </si>
  <si>
    <t>Component 12</t>
  </si>
  <si>
    <t>Component 13</t>
  </si>
  <si>
    <t>Component 14</t>
  </si>
  <si>
    <t>Component 15</t>
  </si>
  <si>
    <t>Component 16</t>
  </si>
  <si>
    <t>Component 17</t>
  </si>
  <si>
    <t>Component 18</t>
  </si>
  <si>
    <t>Component 19</t>
  </si>
  <si>
    <t>Component 20</t>
  </si>
  <si>
    <t xml:space="preserve">TOTAL COST: </t>
  </si>
  <si>
    <t>BASE QTY</t>
  </si>
  <si>
    <t>Motorcontrol Testing Rig</t>
  </si>
  <si>
    <t>SELLER</t>
  </si>
  <si>
    <t>Link</t>
  </si>
  <si>
    <t>Pilotix 6210 210KV</t>
  </si>
  <si>
    <t>BLDC Motor</t>
  </si>
  <si>
    <t>Hobbydrone</t>
  </si>
  <si>
    <t>https://www.hobbydrone.cz/de/motor-pilotix-6210-210kv/</t>
  </si>
  <si>
    <t>AMS AS5047P</t>
  </si>
  <si>
    <t>Magnetencoder</t>
  </si>
  <si>
    <t>Mouser</t>
  </si>
  <si>
    <t>https://www.mouser.de/ProductDetail/ams-OSRAM/AS5047P-ATSM?qs=cGEy3R83DS8fzNOVLHtOgg%3D%3D&amp;utm_id=10062929266&amp;utm_source=google&amp;utm_medium=cpc&amp;utm_marketing_tactic=emeacorp&amp;gad_source=1&amp;gad_campaignid=10062929266&amp;gbraid=0AAAAADn_wf0QECBy5WwFT_6dwM1iJmlnh&amp;gclid=CjwKCAiA95fLBhBPEiwATXUsxCpLuHVIFOWL4rG3Vfg27dmpfQOmZwBKU17AwF4CqP0oRfrGFPSlIxoCYRMQAvD_BwE</t>
  </si>
  <si>
    <t>Halbbrücken + Gate-Driver IPM</t>
  </si>
  <si>
    <t>https://www.mouser.de/ProductDetail/Texas-Instruments/LMG2100R044RARR?qs=ZcfC38r4PovtUeqDI2WsKQ%3D%3D&amp;utm_id=22433149151&amp;utm_source=google&amp;utm_medium=cpc&amp;utm_marketing_tactic=emeacorp&amp;gad_source=1&amp;gad_campaignid=22426713531&amp;gbraid=0AAAAADn_wf1jyQm3btgJXPAUHuyqZ1QbN&amp;gclid=CjwKCAiA95fLBhBPEiwATXUsxNeoaw-eWxu2TXxOpsx17xU4idtm0YNndr9xYRBkQAegtHJh3KTT2BoCXicQAvD_BwE</t>
  </si>
  <si>
    <t>Mikrocontroller, Motorcontroller Set</t>
  </si>
  <si>
    <t>https://www.mouser.de/ProductDetail/STMicroelectronics/P-NUCLEO-IHM03?qs=T3oQrply3y8PZpuhOvj%2FjQ%3D%3D&amp;utm_id=22436684848&amp;utm_source=google&amp;utm_medium=cpc&amp;utm_marketing_tactic=emeacorp&amp;gad_source=1&amp;gad_campaignid=22436717956&amp;gbraid=0AAAAADn_wf3HajWE9EwRPWzZEC9Z9XsMu&amp;gclid=CjwKCAiA95fLBhBPEiwATXUsxEFdYZN4nGtmf5zdswfzZgjGy7dshnHI4A3jWCdTIUcC22-2874-ohoCG5kQAvD_BwE</t>
  </si>
  <si>
    <t>Mean Well GST280A24-C6P</t>
  </si>
  <si>
    <t>Desktopnetzteil</t>
  </si>
  <si>
    <t>Reichelt</t>
  </si>
  <si>
    <t>https://www.reichelt.com/ch/de/shop/produkt/tischnetzteil_280_w_24_v_11_67_a-171084</t>
  </si>
  <si>
    <t>Analog Devices ADAD2S1210CSTZ</t>
  </si>
  <si>
    <t>Resolver-Digital Converter</t>
  </si>
  <si>
    <t>https://www.mouser.de/ProductDetail/Analog-Devices/AD2S1210CSTZ?qs=NmRFExCfTkHtgjtWgbRPyA%3D%3D&amp;utm_id=10062902869&amp;utm_source=google&amp;utm_medium=cpc&amp;utm_marketing_tactic=emeacorp&amp;gad_source=1&amp;gad_campaignid=10062902869&amp;gbraid=0AAAAADn_wf3AQ-KWFZdrxbIzgco_O_MFY&amp;gclid=CjwKCAiA95fLBhBPEiwATXUsxOej17f5bvjHDHxSv0lA9qjSLRlXazDakyvhtzHzvHpIfXIN-WRRLxoC9-8QAvD_BwE</t>
  </si>
  <si>
    <t>TDK ICM-45605</t>
  </si>
  <si>
    <t>Inertial Measurement Unit</t>
  </si>
  <si>
    <t>https://www.mouser.de/ProductDetail/TDK-InvenSense/ICM-45605?qs=HoCaDK9Nz5cq5D4Jf8QQQg%3D%3D&amp;srsltid=AfmBOoqJ-mLsR9Y2w4fPZ78QLK-kz2L7RjKOraogPP9NP_2pvD2lw6NZ</t>
  </si>
  <si>
    <t>Texas Instruments LMG2100R044</t>
  </si>
  <si>
    <t>STM P-NUCLEO-IHM03</t>
  </si>
  <si>
    <t>STM NUCLEO-G431RB</t>
  </si>
  <si>
    <t>Development Board (MCU) Ersatz</t>
  </si>
  <si>
    <t>https://www.mouser.de/ProductDetail/STMicroelectronics/NUCLEO-G431RB?qs=T3oQrply3y%252BHSoH%2FYfQbYw%3D%3D&amp;utm_id=10062868522&amp;utm_source=google&amp;utm_medium=cpc&amp;utm_marketing_tactic=emeacorp&amp;gad_source=1&amp;gad_campaignid=10062868522&amp;gbraid=0AAAAADn_wf0zSd5Xb5a8Q1TzLOINiPNHw&amp;gclid=CjwKCAiAmp3LBhAkEiwAJM2JUBqqewWC_uwY2FR7DtdJ3aW8oSj1FG2NqE-q_SQgZSGd7Pn4SlI8OhoCb6cQAvD_BwE</t>
  </si>
  <si>
    <t xml:space="preserve">D8x4mm - N48 </t>
  </si>
  <si>
    <t xml:space="preserve"> Neodym Scheiben Magnet diametral</t>
  </si>
  <si>
    <t>neomagnete</t>
  </si>
  <si>
    <t>https://www.neomagnete.de/de/detail/index/sArticle/212?gad_source=1&amp;gad_campaignid=17605133197&amp;gbraid=0AAAAAD_oNQFkVobcRpzUKJz5hM3hHz4Fb&amp;gclid=CjwKCAiA95fLBhBPEiwATXUsxHd6w5GT2PIIX66BMHLcYRIPPrKjXiK0qCdEW1isFIvSDILRksHHkRoC_dEQAvD_BwE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</si>
</sst>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#,##0.00\ &quot;€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.25"/>
      <color theme="4"/>
      <name val="Microsoft Sans Serif"/>
      <family val="2"/>
    </font>
    <font>
      <sz val="10"/>
      <color indexed="0"/>
      <name val="ARIAL"/>
      <family val="2"/>
    </font>
    <font>
      <u/>
      <sz val="10"/>
      <color theme="10"/>
      <name val="Arial"/>
      <family val="2"/>
    </font>
    <font>
      <u/>
      <sz val="16"/>
      <color theme="5"/>
      <name val="Arial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</xf>
  </cellStyleXfs>
  <cellXfs count="25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right"/>
    </xf>
    <xf numFmtId="0" fontId="0" fillId="0" borderId="1" xfId="0" applyBorder="1"/>
    <xf numFmtId="164" fontId="0" fillId="0" borderId="0" xfId="0" applyNumberFormat="1"/>
    <xf numFmtId="0" fontId="5" fillId="0" borderId="0" xfId="1" applyFont="1" applyFill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left" vertical="top" wrapText="1"/>
    </xf>
    <xf numFmtId="164" fontId="4" fillId="0" borderId="5" xfId="1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0" xfId="0" applyNumberFormat="1"/>
    <xf numFmtId="165" fontId="6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5" fillId="0" borderId="0" xfId="1" applyFont="1" applyFill="1" applyAlignment="1">
      <alignment horizontal="center" vertical="center" wrapText="1"/>
    </xf>
    <xf numFmtId="0" fontId="5" fillId="0" borderId="0" xfId="1" applyFont="1" applyFill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de/ProductDetail/STMicroelectronics/NUCLEO-G431RB?qs=T3oQrply3y%252BHSoH%2FYfQbYw%3D%3D&amp;utm_id=10062868522&amp;utm_source=google&amp;utm_medium=cpc&amp;utm_marketing_tactic=emeacorp&amp;gad_source=1&amp;gad_campaignid=10062868522&amp;gbraid=0AAAAADn_wf0zSd5Xb5a8Q1TzLOINiPNHw&amp;gclid=CjwKCAiAmp3LBhAkEiwAJM2JUBqqewWC_uwY2FR7DtdJ3aW8oSj1FG2NqE-q_SQgZSGd7Pn4SlI8OhoCb6cQAvD_BwE" TargetMode="External"/><Relationship Id="rId3" Type="http://schemas.openxmlformats.org/officeDocument/2006/relationships/hyperlink" Target="https://www.mouser.de/ProductDetail/Texas-Instruments/LMG2100R044RARR?qs=ZcfC38r4PovtUeqDI2WsKQ%3D%3D&amp;utm_id=22433149151&amp;utm_source=google&amp;utm_medium=cpc&amp;utm_marketing_tactic=emeacorp&amp;gad_source=1&amp;gad_campaignid=22426713531&amp;gbraid=0AAAAADn_wf1jyQm3btgJXPAUHuyqZ1QbN&amp;gclid=CjwKCAiA95fLBhBPEiwATXUsxNeoaw-eWxu2TXxOpsx17xU4idtm0YNndr9xYRBkQAegtHJh3KTT2BoCXicQAvD_BwE" TargetMode="External"/><Relationship Id="rId7" Type="http://schemas.openxmlformats.org/officeDocument/2006/relationships/hyperlink" Target="https://www.mouser.de/ProductDetail/TDK-InvenSense/ICM-45605?qs=HoCaDK9Nz5cq5D4Jf8QQQg%3D%3D&amp;srsltid=AfmBOoqJ-mLsR9Y2w4fPZ78QLK-kz2L7RjKOraogPP9NP_2pvD2lw6NZ" TargetMode="External"/><Relationship Id="rId2" Type="http://schemas.openxmlformats.org/officeDocument/2006/relationships/hyperlink" Target="https://www.mouser.de/ProductDetail/ams-OSRAM/AS5047P-ATSM?qs=cGEy3R83DS8fzNOVLHtOgg%3D%3D&amp;utm_id=10062929266&amp;utm_source=google&amp;utm_medium=cpc&amp;utm_marketing_tactic=emeacorp&amp;gad_source=1&amp;gad_campaignid=10062929266&amp;gbraid=0AAAAADn_wf0QECBy5WwFT_6dwM1iJmlnh&amp;gclid=CjwKCAiA95fLBhBPEiwATXUsxCpLuHVIFOWL4rG3Vfg27dmpfQOmZwBKU17AwF4CqP0oRfrGFPSlIxoCYRMQAvD_BwE" TargetMode="External"/><Relationship Id="rId1" Type="http://schemas.openxmlformats.org/officeDocument/2006/relationships/hyperlink" Target="https://www.hobbydrone.cz/de/motor-pilotix-6210-210kv/" TargetMode="External"/><Relationship Id="rId6" Type="http://schemas.openxmlformats.org/officeDocument/2006/relationships/hyperlink" Target="https://www.mouser.de/ProductDetail/Analog-Devices/AD2S1210CSTZ?qs=NmRFExCfTkHtgjtWgbRPyA%3D%3D&amp;utm_id=10062902869&amp;utm_source=google&amp;utm_medium=cpc&amp;utm_marketing_tactic=emeacorp&amp;gad_source=1&amp;gad_campaignid=10062902869&amp;gbraid=0AAAAADn_wf3AQ-KWFZdrxbIzgco_O_MFY&amp;gclid=CjwKCAiA95fLBhBPEiwATXUsxOej17f5bvjHDHxSv0lA9qjSLRlXazDakyvhtzHzvHpIfXIN-WRRLxoC9-8QAvD_BwE" TargetMode="External"/><Relationship Id="rId5" Type="http://schemas.openxmlformats.org/officeDocument/2006/relationships/hyperlink" Target="https://www.reichelt.com/ch/de/shop/produkt/tischnetzteil_280_w_24_v_11_67_a-171084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mouser.de/ProductDetail/STMicroelectronics/P-NUCLEO-IHM03?qs=T3oQrply3y8PZpuhOvj%2FjQ%3D%3D&amp;utm_id=22436684848&amp;utm_source=google&amp;utm_medium=cpc&amp;utm_marketing_tactic=emeacorp&amp;gad_source=1&amp;gad_campaignid=22436717956&amp;gbraid=0AAAAADn_wf3HajWE9EwRPWzZEC9Z9XsMu&amp;gclid=CjwKCAiA95fLBhBPEiwATXUsxEFdYZN4nGtmf5zdswfzZgjGy7dshnHI4A3jWCdTIUcC22-2874-ohoCG5kQAvD_BwE" TargetMode="External"/><Relationship Id="rId9" Type="http://schemas.openxmlformats.org/officeDocument/2006/relationships/hyperlink" Target="https://www.neomagnete.de/de/detail/index/sArticle/212?gad_source=1&amp;gad_campaignid=17605133197&amp;gbraid=0AAAAAD_oNQFkVobcRpzUKJz5hM3hHz4Fb&amp;gclid=CjwKCAiA95fLBhBPEiwATXUsxHd6w5GT2PIIX66BMHLcYRIPPrKjXiK0qCdEW1isFIvSDILRksHHkRoC_dE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tabSelected="1" workbookViewId="0">
      <selection activeCell="A21" sqref="A21"/>
    </sheetView>
  </sheetViews>
  <sheetFormatPr defaultRowHeight="15" x14ac:dyDescent="0.25"/>
  <cols>
    <col min="1" max="2" width="37.140625" customWidth="1"/>
    <col min="3" max="4" width="15.5703125" customWidth="1"/>
    <col min="5" max="5" width="19.7109375" hidden="1" customWidth="1"/>
    <col min="6" max="6" width="16" customWidth="1"/>
    <col min="7" max="7" width="30.5703125" customWidth="1"/>
  </cols>
  <sheetData>
    <row r="1" spans="1:13" ht="35.25" customHeight="1" x14ac:dyDescent="0.25">
      <c r="A1" s="20" t="s">
        <v>0</v>
      </c>
      <c r="B1" s="20"/>
      <c r="C1" s="20"/>
      <c r="D1" s="20"/>
      <c r="E1" s="2"/>
      <c r="F1" s="2"/>
      <c r="G1" s="2"/>
      <c r="H1" s="1"/>
      <c r="I1" s="1"/>
      <c r="J1" s="1"/>
      <c r="K1" s="1"/>
      <c r="L1" s="1"/>
      <c r="M1" s="1"/>
    </row>
    <row r="2" spans="1:13" ht="15" customHeight="1" x14ac:dyDescent="0.25">
      <c r="A2" s="23" t="s">
        <v>5</v>
      </c>
      <c r="B2" s="23"/>
      <c r="C2" s="24" t="s">
        <v>19</v>
      </c>
      <c r="D2" s="24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23" t="s">
        <v>6</v>
      </c>
      <c r="B3" s="23"/>
      <c r="C3" s="24">
        <v>1</v>
      </c>
      <c r="D3" s="24"/>
    </row>
    <row r="4" spans="1:13" x14ac:dyDescent="0.25">
      <c r="A4" s="3"/>
      <c r="B4" s="3"/>
    </row>
    <row r="5" spans="1:13" x14ac:dyDescent="0.25">
      <c r="A5" s="7" t="s">
        <v>2</v>
      </c>
      <c r="B5" s="7" t="s">
        <v>1</v>
      </c>
      <c r="C5" s="8" t="s">
        <v>18</v>
      </c>
      <c r="D5" s="8" t="s">
        <v>3</v>
      </c>
      <c r="E5" s="4" t="s">
        <v>4</v>
      </c>
      <c r="F5" s="8" t="s">
        <v>20</v>
      </c>
      <c r="G5" s="8" t="s">
        <v>21</v>
      </c>
    </row>
    <row r="6" spans="1:13" x14ac:dyDescent="0.25">
      <c r="A6" s="9" t="s">
        <v>22</v>
      </c>
      <c r="B6" s="10" t="s">
        <v>23</v>
      </c>
      <c r="C6" s="11">
        <v>1</v>
      </c>
      <c r="D6" s="16">
        <v>128.30000000000001</v>
      </c>
      <c r="E6" s="5">
        <f t="shared" ref="E6:E24" si="0">C6*D6</f>
        <v>128.30000000000001</v>
      </c>
      <c r="F6" s="12" t="s">
        <v>24</v>
      </c>
      <c r="G6" s="15" t="s">
        <v>25</v>
      </c>
    </row>
    <row r="7" spans="1:13" x14ac:dyDescent="0.25">
      <c r="A7" s="10" t="s">
        <v>26</v>
      </c>
      <c r="B7" s="10" t="s">
        <v>27</v>
      </c>
      <c r="C7" s="11">
        <v>1</v>
      </c>
      <c r="D7" s="16">
        <v>6.47</v>
      </c>
      <c r="E7" s="5">
        <f t="shared" si="0"/>
        <v>6.47</v>
      </c>
      <c r="F7" s="12" t="s">
        <v>28</v>
      </c>
      <c r="G7" s="15" t="s">
        <v>29</v>
      </c>
    </row>
    <row r="8" spans="1:13" x14ac:dyDescent="0.25">
      <c r="A8" s="10" t="s">
        <v>44</v>
      </c>
      <c r="B8" s="10" t="s">
        <v>30</v>
      </c>
      <c r="C8" s="11">
        <v>3</v>
      </c>
      <c r="D8" s="16">
        <v>7.38</v>
      </c>
      <c r="E8" s="5">
        <f t="shared" si="0"/>
        <v>22.14</v>
      </c>
      <c r="F8" s="12" t="s">
        <v>28</v>
      </c>
      <c r="G8" s="15" t="s">
        <v>31</v>
      </c>
    </row>
    <row r="9" spans="1:13" x14ac:dyDescent="0.25">
      <c r="A9" s="10" t="s">
        <v>45</v>
      </c>
      <c r="B9" s="10" t="s">
        <v>32</v>
      </c>
      <c r="C9" s="11">
        <v>1</v>
      </c>
      <c r="D9" s="16">
        <v>62.61</v>
      </c>
      <c r="E9" s="5">
        <f t="shared" si="0"/>
        <v>62.61</v>
      </c>
      <c r="F9" s="12" t="s">
        <v>28</v>
      </c>
      <c r="G9" s="15" t="s">
        <v>33</v>
      </c>
    </row>
    <row r="10" spans="1:13" x14ac:dyDescent="0.25">
      <c r="A10" s="10" t="s">
        <v>34</v>
      </c>
      <c r="B10" s="10" t="s">
        <v>35</v>
      </c>
      <c r="C10" s="11">
        <v>1</v>
      </c>
      <c r="D10" s="16">
        <v>87.76</v>
      </c>
      <c r="E10" s="5">
        <f t="shared" si="0"/>
        <v>87.76</v>
      </c>
      <c r="F10" s="12" t="s">
        <v>36</v>
      </c>
      <c r="G10" s="15" t="s">
        <v>37</v>
      </c>
    </row>
    <row r="11" spans="1:13" x14ac:dyDescent="0.25">
      <c r="A11" s="10" t="s">
        <v>38</v>
      </c>
      <c r="B11" s="10" t="s">
        <v>39</v>
      </c>
      <c r="C11" s="11">
        <v>1</v>
      </c>
      <c r="D11" s="16">
        <v>29.87</v>
      </c>
      <c r="E11" s="5">
        <f t="shared" si="0"/>
        <v>29.87</v>
      </c>
      <c r="F11" s="12" t="s">
        <v>28</v>
      </c>
      <c r="G11" s="15" t="s">
        <v>40</v>
      </c>
    </row>
    <row r="12" spans="1:13" x14ac:dyDescent="0.25">
      <c r="A12" s="10" t="s">
        <v>41</v>
      </c>
      <c r="B12" s="10" t="s">
        <v>42</v>
      </c>
      <c r="C12" s="11">
        <v>1</v>
      </c>
      <c r="D12" s="16">
        <v>4.3499999999999996</v>
      </c>
      <c r="E12" s="5">
        <f t="shared" si="0"/>
        <v>4.3499999999999996</v>
      </c>
      <c r="F12" s="12" t="s">
        <v>28</v>
      </c>
      <c r="G12" s="15" t="s">
        <v>43</v>
      </c>
    </row>
    <row r="13" spans="1:13" x14ac:dyDescent="0.25">
      <c r="A13" s="10" t="s">
        <v>46</v>
      </c>
      <c r="B13" s="10" t="s">
        <v>47</v>
      </c>
      <c r="C13" s="11">
        <v>1</v>
      </c>
      <c r="D13" s="16">
        <v>13.66</v>
      </c>
      <c r="E13" s="5">
        <f t="shared" si="0"/>
        <v>13.66</v>
      </c>
      <c r="F13" s="12" t="s">
        <v>28</v>
      </c>
      <c r="G13" s="15" t="s">
        <v>48</v>
      </c>
    </row>
    <row r="14" spans="1:13" x14ac:dyDescent="0.25">
      <c r="A14" s="10" t="s">
        <v>49</v>
      </c>
      <c r="B14" s="10" t="s">
        <v>50</v>
      </c>
      <c r="C14" s="11">
        <v>5</v>
      </c>
      <c r="D14" s="16">
        <v>0.87</v>
      </c>
      <c r="E14" s="5">
        <f t="shared" si="0"/>
        <v>4.3499999999999996</v>
      </c>
      <c r="F14" s="12" t="s">
        <v>51</v>
      </c>
      <c r="G14" s="15" t="s">
        <v>52</v>
      </c>
    </row>
    <row r="15" spans="1:13" x14ac:dyDescent="0.25">
      <c r="A15" s="10" t="s">
        <v>7</v>
      </c>
      <c r="B15" s="10"/>
      <c r="C15" s="11"/>
      <c r="D15" s="16"/>
      <c r="E15" s="5">
        <f t="shared" si="0"/>
        <v>0</v>
      </c>
      <c r="F15" s="12"/>
      <c r="G15" s="12"/>
    </row>
    <row r="16" spans="1:13" x14ac:dyDescent="0.25">
      <c r="A16" s="10" t="s">
        <v>8</v>
      </c>
      <c r="B16" s="10"/>
      <c r="C16" s="11"/>
      <c r="D16" s="16"/>
      <c r="E16" s="5">
        <f t="shared" si="0"/>
        <v>0</v>
      </c>
      <c r="F16" s="12"/>
      <c r="G16" s="12"/>
    </row>
    <row r="17" spans="1:22" x14ac:dyDescent="0.25">
      <c r="A17" s="10" t="s">
        <v>9</v>
      </c>
      <c r="B17" s="10"/>
      <c r="C17" s="11"/>
      <c r="D17" s="16"/>
      <c r="E17" s="5">
        <f t="shared" si="0"/>
        <v>0</v>
      </c>
      <c r="F17" s="12"/>
      <c r="G17" s="12"/>
    </row>
    <row r="18" spans="1:22" x14ac:dyDescent="0.25">
      <c r="A18" s="10" t="s">
        <v>10</v>
      </c>
      <c r="B18" s="10"/>
      <c r="C18" s="11"/>
      <c r="D18" s="16"/>
      <c r="E18" s="5">
        <f t="shared" si="0"/>
        <v>0</v>
      </c>
      <c r="F18" s="12"/>
      <c r="G18" s="12"/>
    </row>
    <row r="19" spans="1:22" x14ac:dyDescent="0.25">
      <c r="A19" s="10" t="s">
        <v>11</v>
      </c>
      <c r="B19" s="10"/>
      <c r="C19" s="11"/>
      <c r="D19" s="16"/>
      <c r="E19" s="5">
        <f t="shared" si="0"/>
        <v>0</v>
      </c>
      <c r="F19" s="12"/>
      <c r="G19" s="12"/>
    </row>
    <row r="20" spans="1:22" x14ac:dyDescent="0.25">
      <c r="A20" s="10" t="s">
        <v>12</v>
      </c>
      <c r="B20" s="10"/>
      <c r="C20" s="11"/>
      <c r="D20" s="16"/>
      <c r="E20" s="5">
        <f t="shared" si="0"/>
        <v>0</v>
      </c>
      <c r="F20" s="12"/>
      <c r="G20" s="12"/>
    </row>
    <row r="21" spans="1:22" x14ac:dyDescent="0.25">
      <c r="A21" s="10" t="s">
        <v>13</v>
      </c>
      <c r="B21" s="10"/>
      <c r="C21" s="11"/>
      <c r="D21" s="16"/>
      <c r="E21" s="5">
        <f t="shared" si="0"/>
        <v>0</v>
      </c>
      <c r="F21" s="12"/>
      <c r="G21" s="12"/>
    </row>
    <row r="22" spans="1:22" x14ac:dyDescent="0.25">
      <c r="A22" s="10" t="s">
        <v>14</v>
      </c>
      <c r="B22" s="10"/>
      <c r="C22" s="11"/>
      <c r="D22" s="16"/>
      <c r="E22" s="5">
        <f t="shared" si="0"/>
        <v>0</v>
      </c>
      <c r="F22" s="12"/>
      <c r="G22" s="12"/>
    </row>
    <row r="23" spans="1:22" x14ac:dyDescent="0.25">
      <c r="A23" s="10" t="s">
        <v>15</v>
      </c>
      <c r="B23" s="10"/>
      <c r="C23" s="11"/>
      <c r="D23" s="16"/>
      <c r="E23" s="5">
        <f t="shared" si="0"/>
        <v>0</v>
      </c>
      <c r="F23" s="12"/>
      <c r="G23" s="12"/>
    </row>
    <row r="24" spans="1:22" x14ac:dyDescent="0.25">
      <c r="A24" s="10" t="s">
        <v>16</v>
      </c>
      <c r="B24" s="10"/>
      <c r="C24" s="11"/>
      <c r="D24" s="16"/>
      <c r="E24" s="5">
        <f t="shared" si="0"/>
        <v>0</v>
      </c>
      <c r="F24" s="12"/>
      <c r="G24" s="12"/>
    </row>
    <row r="25" spans="1:22" x14ac:dyDescent="0.25">
      <c r="D25" s="17"/>
      <c r="E25" s="5"/>
    </row>
    <row r="26" spans="1:22" ht="18.75" x14ac:dyDescent="0.3">
      <c r="C26" s="13" t="s">
        <v>17</v>
      </c>
      <c r="D26" s="18">
        <f>SUM(E6:E24)*C3</f>
        <v>359.5100000000001</v>
      </c>
    </row>
    <row r="29" spans="1:22" ht="15.75" customHeight="1" x14ac:dyDescent="0.25">
      <c r="A29" s="19"/>
      <c r="B29" s="19"/>
      <c r="C29" s="19"/>
      <c r="D29" s="19"/>
      <c r="E29" s="14"/>
      <c r="F29" s="14"/>
      <c r="G29" s="14"/>
      <c r="H29" s="14"/>
      <c r="I29" s="14"/>
      <c r="J29" s="14"/>
    </row>
    <row r="31" spans="1:22" ht="14.25" customHeight="1" x14ac:dyDescent="0.25">
      <c r="A31" s="21"/>
      <c r="B31" s="22"/>
      <c r="C31" s="22"/>
      <c r="D31" s="22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</sheetData>
  <mergeCells count="7">
    <mergeCell ref="A29:D29"/>
    <mergeCell ref="A1:D1"/>
    <mergeCell ref="A31:D31"/>
    <mergeCell ref="A2:B2"/>
    <mergeCell ref="A3:B3"/>
    <mergeCell ref="C2:D2"/>
    <mergeCell ref="C3:D3"/>
  </mergeCells>
  <hyperlinks>
    <hyperlink ref="G6" r:id="rId1" xr:uid="{A04FC094-A4D4-4534-9F6B-73FB91C54BBB}"/>
    <hyperlink ref="G7" r:id="rId2" display="https://www.mouser.de/ProductDetail/ams-OSRAM/AS5047P-ATSM?qs=cGEy3R83DS8fzNOVLHtOgg%3D%3D&amp;utm_id=10062929266&amp;utm_source=google&amp;utm_medium=cpc&amp;utm_marketing_tactic=emeacorp&amp;gad_source=1&amp;gad_campaignid=10062929266&amp;gbraid=0AAAAADn_wf0QECBy5WwFT_6dwM1iJmlnh&amp;gclid=CjwKCAiA95fLBhBPEiwATXUsxCpLuHVIFOWL4rG3Vfg27dmpfQOmZwBKU17AwF4CqP0oRfrGFPSlIxoCYRMQAvD_BwE" xr:uid="{744EB269-DE43-49FE-9CB0-BB082FCBB785}"/>
    <hyperlink ref="G8" r:id="rId3" display="https://www.mouser.de/ProductDetail/Texas-Instruments/LMG2100R044RARR?qs=ZcfC38r4PovtUeqDI2WsKQ%3D%3D&amp;utm_id=22433149151&amp;utm_source=google&amp;utm_medium=cpc&amp;utm_marketing_tactic=emeacorp&amp;gad_source=1&amp;gad_campaignid=22426713531&amp;gbraid=0AAAAADn_wf1jyQm3btgJXPAUHuyqZ1QbN&amp;gclid=CjwKCAiA95fLBhBPEiwATXUsxNeoaw-eWxu2TXxOpsx17xU4idtm0YNndr9xYRBkQAegtHJh3KTT2BoCXicQAvD_BwE" xr:uid="{38FBB76D-F088-4EF1-AFD7-07C300EDE812}"/>
    <hyperlink ref="G9" r:id="rId4" display="https://www.mouser.de/ProductDetail/STMicroelectronics/P-NUCLEO-IHM03?qs=T3oQrply3y8PZpuhOvj%2FjQ%3D%3D&amp;utm_id=22436684848&amp;utm_source=google&amp;utm_medium=cpc&amp;utm_marketing_tactic=emeacorp&amp;gad_source=1&amp;gad_campaignid=22436717956&amp;gbraid=0AAAAADn_wf3HajWE9EwRPWzZEC9Z9XsMu&amp;gclid=CjwKCAiA95fLBhBPEiwATXUsxEFdYZN4nGtmf5zdswfzZgjGy7dshnHI4A3jWCdTIUcC22-2874-ohoCG5kQAvD_BwE" xr:uid="{B81CD636-A01C-4F75-A5A8-F6308C19137D}"/>
    <hyperlink ref="G10" r:id="rId5" xr:uid="{DF0915EE-81B5-4E94-A1E7-E6B97CF5CA43}"/>
    <hyperlink ref="G11" r:id="rId6" display="https://www.mouser.de/ProductDetail/Analog-Devices/AD2S1210CSTZ?qs=NmRFExCfTkHtgjtWgbRPyA%3D%3D&amp;utm_id=10062902869&amp;utm_source=google&amp;utm_medium=cpc&amp;utm_marketing_tactic=emeacorp&amp;gad_source=1&amp;gad_campaignid=10062902869&amp;gbraid=0AAAAADn_wf3AQ-KWFZdrxbIzgco_O_MFY&amp;gclid=CjwKCAiA95fLBhBPEiwATXUsxOej17f5bvjHDHxSv0lA9qjSLRlXazDakyvhtzHzvHpIfXIN-WRRLxoC9-8QAvD_BwE" xr:uid="{1513A9A4-2156-434D-99BA-824F4774DEAE}"/>
    <hyperlink ref="G12" r:id="rId7" xr:uid="{26DF35CA-C514-4AB1-8973-13F2C89E70B5}"/>
    <hyperlink ref="G13" r:id="rId8" display="https://www.mouser.de/ProductDetail/STMicroelectronics/NUCLEO-G431RB?qs=T3oQrply3y%252BHSoH%2FYfQbYw%3D%3D&amp;utm_id=10062868522&amp;utm_source=google&amp;utm_medium=cpc&amp;utm_marketing_tactic=emeacorp&amp;gad_source=1&amp;gad_campaignid=10062868522&amp;gbraid=0AAAAADn_wf0zSd5Xb5a8Q1TzLOINiPNHw&amp;gclid=CjwKCAiAmp3LBhAkEiwAJM2JUBqqewWC_uwY2FR7DtdJ3aW8oSj1FG2NqE-q_SQgZSGd7Pn4SlI8OhoCb6cQAvD_BwE" xr:uid="{C7F97BB1-1EC9-4442-9DAE-C50277A81AD6}"/>
    <hyperlink ref="G14" r:id="rId9" xr:uid="{B182C025-C01E-460B-BFB5-2FB6FE0F9E28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Wong</dc:creator>
  <cp:lastModifiedBy>Azmi BEYROUTI</cp:lastModifiedBy>
  <dcterms:created xsi:type="dcterms:W3CDTF">2016-10-14T14:41:25Z</dcterms:created>
  <dcterms:modified xsi:type="dcterms:W3CDTF">2026-01-14T08:48:50Z</dcterms:modified>
</cp:coreProperties>
</file>